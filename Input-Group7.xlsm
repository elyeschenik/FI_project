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yès Chenik\Documents\Dauphine\M2\Fixed Income\FI_project\"/>
    </mc:Choice>
  </mc:AlternateContent>
  <xr:revisionPtr revIDLastSave="0" documentId="13_ncr:1_{ED2085BD-C407-4B4B-A315-364C8DAC0C49}" xr6:coauthVersionLast="46" xr6:coauthVersionMax="46" xr10:uidLastSave="{00000000-0000-0000-0000-000000000000}"/>
  <bookViews>
    <workbookView xWindow="-108" yWindow="-108" windowWidth="23256" windowHeight="12576" tabRatio="872" activeTab="1" xr2:uid="{08307472-78F2-4B9F-AC3E-0522365EB471}"/>
  </bookViews>
  <sheets>
    <sheet name="Conventions" sheetId="8" r:id="rId1"/>
    <sheet name="Excel Connect" sheetId="10" r:id="rId2"/>
    <sheet name="USD3M - Curve for forwards" sheetId="4" r:id="rId3"/>
    <sheet name="OIS Curve for discounting" sheetId="5" r:id="rId4"/>
    <sheet name="VolSwaption" sheetId="7" r:id="rId5"/>
    <sheet name="data_help" sheetId="11" r:id="rId6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1" i="10" l="1"/>
  <c r="L34" i="10"/>
  <c r="I31" i="10"/>
  <c r="L5" i="10"/>
  <c r="I10" i="11"/>
</calcChain>
</file>

<file path=xl/sharedStrings.xml><?xml version="1.0" encoding="utf-8"?>
<sst xmlns="http://schemas.openxmlformats.org/spreadsheetml/2006/main" count="266" uniqueCount="86">
  <si>
    <t>Term</t>
  </si>
  <si>
    <t>3 MO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</si>
  <si>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</si>
  <si>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</si>
  <si>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</si>
  <si>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</si>
  <si>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</si>
  <si>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</si>
  <si>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</si>
  <si>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</si>
  <si>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</si>
  <si>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 DY</t>
  </si>
  <si>
    <t>1 WK</t>
  </si>
  <si>
    <t>2 WK</t>
  </si>
  <si>
    <t>3 WK</t>
  </si>
  <si>
    <t>1 MO</t>
  </si>
  <si>
    <t>2 MO</t>
  </si>
  <si>
    <t>4 MO</t>
  </si>
  <si>
    <t>5 MO</t>
  </si>
  <si>
    <t>6 MO</t>
  </si>
  <si>
    <t>9 MO</t>
  </si>
  <si>
    <t>12 MO</t>
  </si>
  <si>
    <t>18 MO</t>
  </si>
  <si>
    <t>Product</t>
  </si>
  <si>
    <t>Cash</t>
  </si>
  <si>
    <t>Future</t>
  </si>
  <si>
    <t>Swap</t>
  </si>
  <si>
    <t>Start Date</t>
  </si>
  <si>
    <t>Forward Libor</t>
  </si>
  <si>
    <t>Fixed Leg</t>
  </si>
  <si>
    <t>Floating Leg</t>
  </si>
  <si>
    <t>Frequency</t>
  </si>
  <si>
    <t>Quarterly</t>
  </si>
  <si>
    <t>Semi Annual</t>
  </si>
  <si>
    <t>Day Count Basis</t>
  </si>
  <si>
    <t>30/360</t>
  </si>
  <si>
    <t>ACT/360</t>
  </si>
  <si>
    <t>Calendar</t>
  </si>
  <si>
    <t>Fixing lag</t>
  </si>
  <si>
    <t>2 Business Days</t>
  </si>
  <si>
    <t>(before the start of the period of the loan)</t>
  </si>
  <si>
    <t>ZC Rate to discount factor</t>
  </si>
  <si>
    <t>ACT/365</t>
  </si>
  <si>
    <t>Today</t>
  </si>
  <si>
    <t>US</t>
  </si>
  <si>
    <t>Discount factor at maturity</t>
  </si>
  <si>
    <t>SABR parameters - Smile of the Swaption 5Y2Y</t>
  </si>
  <si>
    <t>Alpha</t>
  </si>
  <si>
    <t>Beta</t>
  </si>
  <si>
    <t>Rho</t>
  </si>
  <si>
    <t>Sigma_0</t>
  </si>
  <si>
    <t>Pricing Date</t>
  </si>
  <si>
    <t>End Date</t>
  </si>
  <si>
    <t>Fixing Lag (in days)</t>
  </si>
  <si>
    <t>Notional</t>
  </si>
  <si>
    <t>Payer</t>
  </si>
  <si>
    <t>True</t>
  </si>
  <si>
    <t>Fixed Leg Frequency</t>
  </si>
  <si>
    <t>Floating Leg Frequency</t>
  </si>
  <si>
    <t>Fixed Rate</t>
  </si>
  <si>
    <t>Par Rate</t>
  </si>
  <si>
    <t>Deposit</t>
  </si>
  <si>
    <t>Deposit Rate</t>
  </si>
  <si>
    <t>Floating</t>
  </si>
  <si>
    <t>Present Value</t>
  </si>
  <si>
    <t>Physical Swaption</t>
  </si>
  <si>
    <t>Volatility</t>
  </si>
  <si>
    <t>Strike</t>
  </si>
  <si>
    <t>Expiry</t>
  </si>
  <si>
    <t>Cash Settled Swaption</t>
  </si>
  <si>
    <t>Cash Settled Swaption (SABR)</t>
  </si>
  <si>
    <t>α</t>
  </si>
  <si>
    <t>β</t>
  </si>
  <si>
    <t>ρ</t>
  </si>
  <si>
    <t>σ</t>
  </si>
  <si>
    <t>Global Inputs</t>
  </si>
  <si>
    <t>False</t>
  </si>
  <si>
    <t>Forward Rate Agreement</t>
  </si>
  <si>
    <t xml:space="preserve"> </t>
  </si>
  <si>
    <t>CMS</t>
  </si>
  <si>
    <t>CMS (SABR)</t>
  </si>
  <si>
    <t>Number of Strikes</t>
  </si>
  <si>
    <t>Discount Convention</t>
  </si>
  <si>
    <t>Forward Convention</t>
  </si>
  <si>
    <t>Rate</t>
  </si>
  <si>
    <t>Fixing 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</si>
</sst>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/>
    <xf numFmtId="15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16" fontId="0" fillId="0" borderId="0" xfId="0" applyNumberFormat="1"/>
    <xf numFmtId="14" fontId="0" fillId="0" borderId="0" xfId="0" applyNumberFormat="1"/>
    <xf numFmtId="0" fontId="2" fillId="2" borderId="0" xfId="0" applyFont="1" applyFill="1"/>
    <xf numFmtId="15" fontId="1" fillId="0" borderId="0" xfId="0" applyNumberFormat="1" applyFont="1"/>
    <xf numFmtId="10" fontId="1" fillId="0" borderId="0" xfId="0" applyNumberFormat="1" applyFont="1" applyAlignment="1">
      <alignment horizontal="center"/>
    </xf>
    <xf numFmtId="10" fontId="1" fillId="0" borderId="0" xfId="0" applyNumberFormat="1" applyFont="1"/>
    <xf numFmtId="9" fontId="0" fillId="0" borderId="0" xfId="1" applyFont="1"/>
    <xf numFmtId="0" fontId="0" fillId="4" borderId="3" xfId="0" applyFill="1" applyBorder="1"/>
    <xf numFmtId="14" fontId="0" fillId="4" borderId="3" xfId="0" applyNumberFormat="1" applyFill="1" applyBorder="1"/>
    <xf numFmtId="0" fontId="0" fillId="4" borderId="3" xfId="0" applyNumberFormat="1" applyFill="1" applyBorder="1"/>
    <xf numFmtId="0" fontId="0" fillId="4" borderId="4" xfId="0" applyNumberForma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5" fillId="3" borderId="5" xfId="0" applyFont="1" applyFill="1" applyBorder="1"/>
    <xf numFmtId="0" fontId="0" fillId="4" borderId="8" xfId="0" applyFill="1" applyBorder="1"/>
    <xf numFmtId="10" fontId="0" fillId="4" borderId="3" xfId="0" applyNumberFormat="1" applyFill="1" applyBorder="1"/>
    <xf numFmtId="0" fontId="0" fillId="4" borderId="4" xfId="0" applyFill="1" applyBorder="1"/>
    <xf numFmtId="10" fontId="0" fillId="4" borderId="3" xfId="1" applyNumberFormat="1" applyFont="1" applyFill="1" applyBorder="1"/>
    <xf numFmtId="10" fontId="0" fillId="4" borderId="4" xfId="1" applyNumberFormat="1" applyFont="1" applyFill="1" applyBorder="1"/>
    <xf numFmtId="0" fontId="0" fillId="3" borderId="9" xfId="0" applyFill="1" applyBorder="1"/>
    <xf numFmtId="0" fontId="0" fillId="4" borderId="10" xfId="0" applyFill="1" applyBorder="1"/>
    <xf numFmtId="0" fontId="1" fillId="3" borderId="11" xfId="0" applyFont="1" applyFill="1" applyBorder="1"/>
    <xf numFmtId="164" fontId="1" fillId="4" borderId="12" xfId="0" applyNumberFormat="1" applyFont="1" applyFill="1" applyBorder="1"/>
    <xf numFmtId="0" fontId="1" fillId="3" borderId="13" xfId="0" applyFont="1" applyFill="1" applyBorder="1"/>
    <xf numFmtId="164" fontId="1" fillId="4" borderId="14" xfId="0" applyNumberFormat="1" applyFont="1" applyFill="1" applyBorder="1"/>
    <xf numFmtId="0" fontId="1" fillId="3" borderId="6" xfId="0" applyFont="1" applyFill="1" applyBorder="1"/>
    <xf numFmtId="10" fontId="1" fillId="4" borderId="4" xfId="1" applyNumberFormat="1" applyFont="1" applyFill="1" applyBorder="1"/>
    <xf numFmtId="10" fontId="0" fillId="4" borderId="8" xfId="1" applyNumberFormat="1" applyFont="1" applyFill="1" applyBorder="1"/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3" borderId="15" xfId="0" applyFill="1" applyBorder="1"/>
    <xf numFmtId="0" fontId="0" fillId="4" borderId="16" xfId="0" applyFill="1" applyBorder="1"/>
    <xf numFmtId="0" fontId="0" fillId="3" borderId="17" xfId="0" applyFill="1" applyBorder="1"/>
    <xf numFmtId="0" fontId="0" fillId="4" borderId="17" xfId="0" applyFill="1" applyBorder="1"/>
    <xf numFmtId="0" fontId="0" fillId="4" borderId="17" xfId="0" applyNumberFormat="1" applyFill="1" applyBorder="1"/>
    <xf numFmtId="0" fontId="1" fillId="3" borderId="18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4" borderId="10" xfId="1" applyNumberFormat="1" applyFont="1" applyFill="1" applyBorder="1"/>
    <xf numFmtId="0" fontId="1" fillId="3" borderId="22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10" fontId="0" fillId="4" borderId="8" xfId="0" applyNumberFormat="1" applyFill="1" applyBorder="1"/>
    <xf numFmtId="0" fontId="0" fillId="4" borderId="4" xfId="1" applyNumberFormat="1" applyFont="1" applyFill="1" applyBorder="1"/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4</xdr:row>
      <xdr:rowOff>76200</xdr:rowOff>
    </xdr:from>
    <xdr:to>
      <xdr:col>8</xdr:col>
      <xdr:colOff>685800</xdr:colOff>
      <xdr:row>5</xdr:row>
      <xdr:rowOff>121920</xdr:rowOff>
    </xdr:to>
    <xdr:sp macro="[0]!Compute_FRA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D1B228F6-F121-4238-A5B6-3A66DDE72FD2}"/>
            </a:ext>
          </a:extLst>
        </xdr:cNvPr>
        <xdr:cNvSpPr/>
      </xdr:nvSpPr>
      <xdr:spPr>
        <a:xfrm>
          <a:off x="6294120" y="830580"/>
          <a:ext cx="198882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4</xdr:col>
      <xdr:colOff>15240</xdr:colOff>
      <xdr:row>5</xdr:row>
      <xdr:rowOff>91440</xdr:rowOff>
    </xdr:from>
    <xdr:to>
      <xdr:col>5</xdr:col>
      <xdr:colOff>708660</xdr:colOff>
      <xdr:row>6</xdr:row>
      <xdr:rowOff>114300</xdr:rowOff>
    </xdr:to>
    <xdr:sp macro="[0]!Compute_Deposit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C12F84E4-EDB5-46D8-A371-3B816DE6BE90}"/>
            </a:ext>
          </a:extLst>
        </xdr:cNvPr>
        <xdr:cNvSpPr/>
      </xdr:nvSpPr>
      <xdr:spPr>
        <a:xfrm>
          <a:off x="3413760" y="1226820"/>
          <a:ext cx="2034540" cy="20574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4</xdr:col>
      <xdr:colOff>15240</xdr:colOff>
      <xdr:row>33</xdr:row>
      <xdr:rowOff>91440</xdr:rowOff>
    </xdr:from>
    <xdr:to>
      <xdr:col>5</xdr:col>
      <xdr:colOff>716280</xdr:colOff>
      <xdr:row>34</xdr:row>
      <xdr:rowOff>106680</xdr:rowOff>
    </xdr:to>
    <xdr:sp macro="[0]!Compute_PSwaption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6D80E99-DEAD-4920-BF0C-7CA27ECCBC43}"/>
            </a:ext>
          </a:extLst>
        </xdr:cNvPr>
        <xdr:cNvSpPr/>
      </xdr:nvSpPr>
      <xdr:spPr>
        <a:xfrm>
          <a:off x="3413760" y="4579620"/>
          <a:ext cx="2042160" cy="1981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7</xdr:col>
      <xdr:colOff>30480</xdr:colOff>
      <xdr:row>33</xdr:row>
      <xdr:rowOff>68580</xdr:rowOff>
    </xdr:from>
    <xdr:to>
      <xdr:col>8</xdr:col>
      <xdr:colOff>701040</xdr:colOff>
      <xdr:row>34</xdr:row>
      <xdr:rowOff>106680</xdr:rowOff>
    </xdr:to>
    <xdr:sp macro="[0]!Compute_CSSwaption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BD139F3B-FFF1-4306-ADD8-03AE42F55761}"/>
            </a:ext>
          </a:extLst>
        </xdr:cNvPr>
        <xdr:cNvSpPr/>
      </xdr:nvSpPr>
      <xdr:spPr>
        <a:xfrm>
          <a:off x="6286500" y="4556760"/>
          <a:ext cx="2011680" cy="2209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10</xdr:col>
      <xdr:colOff>15240</xdr:colOff>
      <xdr:row>36</xdr:row>
      <xdr:rowOff>60960</xdr:rowOff>
    </xdr:from>
    <xdr:to>
      <xdr:col>11</xdr:col>
      <xdr:colOff>708660</xdr:colOff>
      <xdr:row>37</xdr:row>
      <xdr:rowOff>114300</xdr:rowOff>
    </xdr:to>
    <xdr:sp macro="[0]!Compute_CSSwaption_SABR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45261865-0C1A-457D-ACEA-FB17A158003A}"/>
            </a:ext>
          </a:extLst>
        </xdr:cNvPr>
        <xdr:cNvSpPr/>
      </xdr:nvSpPr>
      <xdr:spPr>
        <a:xfrm>
          <a:off x="9128760" y="5113020"/>
          <a:ext cx="203454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13</xdr:col>
      <xdr:colOff>30480</xdr:colOff>
      <xdr:row>14</xdr:row>
      <xdr:rowOff>68580</xdr:rowOff>
    </xdr:from>
    <xdr:to>
      <xdr:col>14</xdr:col>
      <xdr:colOff>807720</xdr:colOff>
      <xdr:row>15</xdr:row>
      <xdr:rowOff>106680</xdr:rowOff>
    </xdr:to>
    <xdr:sp macro="[0]!Compute_CM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2B683D01-B5E7-43CA-BB57-94AA4A43EA76}"/>
            </a:ext>
          </a:extLst>
        </xdr:cNvPr>
        <xdr:cNvSpPr/>
      </xdr:nvSpPr>
      <xdr:spPr>
        <a:xfrm>
          <a:off x="12001500" y="1767840"/>
          <a:ext cx="2118360" cy="2286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13</xdr:col>
      <xdr:colOff>15240</xdr:colOff>
      <xdr:row>36</xdr:row>
      <xdr:rowOff>60960</xdr:rowOff>
    </xdr:from>
    <xdr:to>
      <xdr:col>14</xdr:col>
      <xdr:colOff>815340</xdr:colOff>
      <xdr:row>37</xdr:row>
      <xdr:rowOff>114300</xdr:rowOff>
    </xdr:to>
    <xdr:sp macro="[0]!Compute_CMS_SABR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A14EA010-90B4-4CFA-93B0-5F4C650D8ECC}"/>
            </a:ext>
          </a:extLst>
        </xdr:cNvPr>
        <xdr:cNvSpPr/>
      </xdr:nvSpPr>
      <xdr:spPr>
        <a:xfrm>
          <a:off x="11986260" y="5113020"/>
          <a:ext cx="214122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10</xdr:col>
      <xdr:colOff>45720</xdr:colOff>
      <xdr:row>13</xdr:row>
      <xdr:rowOff>76200</xdr:rowOff>
    </xdr:from>
    <xdr:to>
      <xdr:col>11</xdr:col>
      <xdr:colOff>685800</xdr:colOff>
      <xdr:row>14</xdr:row>
      <xdr:rowOff>121920</xdr:rowOff>
    </xdr:to>
    <xdr:sp macro="[0]!Compute_Swap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E5F73AA7-2EF2-4A79-B8EC-49313789D645}"/>
            </a:ext>
          </a:extLst>
        </xdr:cNvPr>
        <xdr:cNvSpPr/>
      </xdr:nvSpPr>
      <xdr:spPr>
        <a:xfrm>
          <a:off x="1981200" y="3238500"/>
          <a:ext cx="1463040" cy="2286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17</xdr:row>
      <xdr:rowOff>76200</xdr:rowOff>
    </xdr:from>
    <xdr:to>
      <xdr:col>4</xdr:col>
      <xdr:colOff>685800</xdr:colOff>
      <xdr:row>18</xdr:row>
      <xdr:rowOff>121920</xdr:rowOff>
    </xdr:to>
    <xdr:sp macro="[0]!Compute_Swap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9F41D31-18EA-4272-842E-07DF211E5047}"/>
            </a:ext>
          </a:extLst>
        </xdr:cNvPr>
        <xdr:cNvSpPr/>
      </xdr:nvSpPr>
      <xdr:spPr>
        <a:xfrm>
          <a:off x="9662160" y="1584960"/>
          <a:ext cx="198120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  <xdr:twoCellAnchor>
    <xdr:from>
      <xdr:col>7</xdr:col>
      <xdr:colOff>45720</xdr:colOff>
      <xdr:row>13</xdr:row>
      <xdr:rowOff>76200</xdr:rowOff>
    </xdr:from>
    <xdr:to>
      <xdr:col>8</xdr:col>
      <xdr:colOff>685800</xdr:colOff>
      <xdr:row>14</xdr:row>
      <xdr:rowOff>121920</xdr:rowOff>
    </xdr:to>
    <xdr:sp macro="[0]!Compute_Swap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96123A9-8394-4C01-8A93-4EE01D561F70}"/>
            </a:ext>
          </a:extLst>
        </xdr:cNvPr>
        <xdr:cNvSpPr/>
      </xdr:nvSpPr>
      <xdr:spPr>
        <a:xfrm>
          <a:off x="9662160" y="1584960"/>
          <a:ext cx="1981200" cy="236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ysClr val="windowText" lastClr="000000"/>
              </a:solidFill>
            </a:rPr>
            <a:t>Compute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E6F73-560E-4F87-BC2F-FBFC94701F09}">
  <sheetPr codeName="Feuil1"/>
  <dimension ref="C2:M46"/>
  <sheetViews>
    <sheetView workbookViewId="0">
      <selection activeCell="D10" sqref="D10"/>
    </sheetView>
  </sheetViews>
  <sheetFormatPr baseColWidth="10" defaultColWidth="8.88671875" defaultRowHeight="14.4" x14ac:dyDescent="0.3"/>
  <cols>
    <col min="3" max="3" width="15" bestFit="1" customWidth="1"/>
    <col min="4" max="4" width="14.88671875" bestFit="1" customWidth="1"/>
    <col min="5" max="5" width="15" bestFit="1" customWidth="1"/>
    <col min="6" max="6" width="14.88671875" bestFit="1" customWidth="1"/>
    <col min="9" max="9" width="13.33203125" bestFit="1" customWidth="1"/>
    <col min="10" max="10" width="10.6640625" bestFit="1" customWidth="1"/>
  </cols>
  <sheetData>
    <row r="2" spans="3:6" x14ac:dyDescent="0.3">
      <c r="C2" s="1" t="s">
        <v>43</v>
      </c>
      <c r="D2" s="2">
        <v>44291</v>
      </c>
    </row>
    <row r="4" spans="3:6" x14ac:dyDescent="0.3">
      <c r="C4" s="1" t="s">
        <v>41</v>
      </c>
    </row>
    <row r="5" spans="3:6" x14ac:dyDescent="0.3">
      <c r="C5" t="s">
        <v>34</v>
      </c>
      <c r="D5" t="s">
        <v>42</v>
      </c>
    </row>
    <row r="7" spans="3:6" x14ac:dyDescent="0.3">
      <c r="C7" s="1" t="s">
        <v>28</v>
      </c>
    </row>
    <row r="8" spans="3:6" x14ac:dyDescent="0.3">
      <c r="C8" t="s">
        <v>34</v>
      </c>
      <c r="D8" t="s">
        <v>36</v>
      </c>
    </row>
    <row r="9" spans="3:6" x14ac:dyDescent="0.3">
      <c r="C9" t="s">
        <v>37</v>
      </c>
      <c r="D9" t="s">
        <v>44</v>
      </c>
    </row>
    <row r="10" spans="3:6" x14ac:dyDescent="0.3">
      <c r="C10" t="s">
        <v>38</v>
      </c>
      <c r="D10" t="s">
        <v>39</v>
      </c>
      <c r="E10" s="6" t="s">
        <v>40</v>
      </c>
    </row>
    <row r="12" spans="3:6" x14ac:dyDescent="0.3">
      <c r="C12" s="1" t="s">
        <v>26</v>
      </c>
    </row>
    <row r="13" spans="3:6" x14ac:dyDescent="0.3">
      <c r="C13" s="9" t="s">
        <v>29</v>
      </c>
      <c r="E13" s="9" t="s">
        <v>30</v>
      </c>
    </row>
    <row r="14" spans="3:6" x14ac:dyDescent="0.3">
      <c r="C14" t="s">
        <v>31</v>
      </c>
      <c r="D14" t="s">
        <v>33</v>
      </c>
      <c r="E14" t="s">
        <v>31</v>
      </c>
      <c r="F14" t="s">
        <v>32</v>
      </c>
    </row>
    <row r="15" spans="3:6" x14ac:dyDescent="0.3">
      <c r="C15" t="s">
        <v>34</v>
      </c>
      <c r="D15" t="s">
        <v>35</v>
      </c>
      <c r="E15" t="s">
        <v>34</v>
      </c>
      <c r="F15" t="s">
        <v>36</v>
      </c>
    </row>
    <row r="16" spans="3:6" x14ac:dyDescent="0.3">
      <c r="C16" t="s">
        <v>37</v>
      </c>
      <c r="D16" t="s">
        <v>44</v>
      </c>
      <c r="E16" t="s">
        <v>37</v>
      </c>
      <c r="F16" t="s">
        <v>44</v>
      </c>
    </row>
    <row r="17" spans="5:10" x14ac:dyDescent="0.3">
      <c r="E17" t="s">
        <v>38</v>
      </c>
      <c r="F17" t="s">
        <v>39</v>
      </c>
      <c r="G17" s="6" t="s">
        <v>40</v>
      </c>
    </row>
    <row r="21" spans="5:10" x14ac:dyDescent="0.3">
      <c r="H21" s="1"/>
      <c r="I21" s="1"/>
      <c r="J21" s="1"/>
    </row>
    <row r="22" spans="5:10" x14ac:dyDescent="0.3">
      <c r="H22" s="1"/>
      <c r="I22" s="2"/>
    </row>
    <row r="23" spans="5:10" x14ac:dyDescent="0.3">
      <c r="H23" s="1"/>
      <c r="I23" s="2"/>
    </row>
    <row r="24" spans="5:10" x14ac:dyDescent="0.3">
      <c r="H24" s="1"/>
      <c r="I24" s="2"/>
    </row>
    <row r="25" spans="5:10" x14ac:dyDescent="0.3">
      <c r="H25" s="1"/>
      <c r="I25" s="2"/>
    </row>
    <row r="26" spans="5:10" x14ac:dyDescent="0.3">
      <c r="H26" s="1"/>
      <c r="I26" s="2"/>
    </row>
    <row r="27" spans="5:10" x14ac:dyDescent="0.3">
      <c r="H27" s="1"/>
      <c r="I27" s="2"/>
    </row>
    <row r="36" spans="9:13" x14ac:dyDescent="0.3">
      <c r="I36" s="7"/>
      <c r="J36" s="8"/>
      <c r="K36" s="8"/>
      <c r="L36" s="8"/>
      <c r="M36" s="8"/>
    </row>
    <row r="37" spans="9:13" x14ac:dyDescent="0.3">
      <c r="I37" s="7"/>
      <c r="J37" s="8"/>
      <c r="K37" s="8"/>
      <c r="L37" s="8"/>
      <c r="M37" s="8"/>
    </row>
    <row r="38" spans="9:13" x14ac:dyDescent="0.3">
      <c r="I38" s="7"/>
      <c r="J38" s="8"/>
      <c r="K38" s="8"/>
      <c r="L38" s="8"/>
      <c r="M38" s="8"/>
    </row>
    <row r="39" spans="9:13" x14ac:dyDescent="0.3">
      <c r="I39" s="7"/>
      <c r="J39" s="8"/>
      <c r="K39" s="8"/>
      <c r="L39" s="8"/>
      <c r="M39" s="8"/>
    </row>
    <row r="40" spans="9:13" x14ac:dyDescent="0.3">
      <c r="I40" s="7"/>
      <c r="J40" s="8"/>
      <c r="K40" s="8"/>
      <c r="L40" s="8"/>
      <c r="M40" s="8"/>
    </row>
    <row r="41" spans="9:13" x14ac:dyDescent="0.3">
      <c r="I41" s="7"/>
      <c r="J41" s="8"/>
      <c r="K41" s="8"/>
      <c r="L41" s="8"/>
      <c r="M41" s="8"/>
    </row>
    <row r="42" spans="9:13" x14ac:dyDescent="0.3">
      <c r="I42" s="7"/>
      <c r="J42" s="8"/>
      <c r="K42" s="8"/>
      <c r="L42" s="8"/>
      <c r="M42" s="8"/>
    </row>
    <row r="43" spans="9:13" x14ac:dyDescent="0.3">
      <c r="I43" s="7"/>
      <c r="J43" s="8"/>
      <c r="K43" s="8"/>
      <c r="L43" s="8"/>
      <c r="M43" s="8"/>
    </row>
    <row r="44" spans="9:13" x14ac:dyDescent="0.3">
      <c r="I44" s="7"/>
      <c r="J44" s="8"/>
      <c r="K44" s="8"/>
      <c r="L44" s="8"/>
      <c r="M44" s="8"/>
    </row>
    <row r="45" spans="9:13" x14ac:dyDescent="0.3">
      <c r="I45" s="7"/>
      <c r="J45" s="8"/>
      <c r="K45" s="8"/>
      <c r="L45" s="8"/>
      <c r="M45" s="8"/>
    </row>
    <row r="46" spans="9:13" x14ac:dyDescent="0.3">
      <c r="I46" s="7"/>
      <c r="J46" s="8"/>
      <c r="K46" s="8"/>
      <c r="L46" s="8"/>
      <c r="M4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C8AB-EF84-49B1-BCF3-744AB6B4053F}">
  <sheetPr codeName="Feuil5"/>
  <dimension ref="A1:O38"/>
  <sheetViews>
    <sheetView showGridLines="0" tabSelected="1" workbookViewId="0">
      <selection activeCell="K7" sqref="K7:L7"/>
    </sheetView>
  </sheetViews>
  <sheetFormatPr baseColWidth="10" defaultRowHeight="14.4" x14ac:dyDescent="0.3"/>
  <cols>
    <col min="1" max="1" width="17.44140625" customWidth="1"/>
    <col min="2" max="2" width="10.5546875" bestFit="1" customWidth="1"/>
    <col min="5" max="5" width="19.5546875" bestFit="1" customWidth="1"/>
    <col min="6" max="6" width="14.6640625" customWidth="1"/>
    <col min="8" max="8" width="19.5546875" bestFit="1" customWidth="1"/>
    <col min="9" max="9" width="12.21875" customWidth="1"/>
    <col min="11" max="11" width="19.5546875" bestFit="1" customWidth="1"/>
    <col min="12" max="12" width="12.109375" customWidth="1"/>
    <col min="14" max="14" width="19.5546875" bestFit="1" customWidth="1"/>
    <col min="15" max="15" width="12.109375" bestFit="1" customWidth="1"/>
  </cols>
  <sheetData>
    <row r="1" spans="1:15" ht="15" thickBot="1" x14ac:dyDescent="0.35">
      <c r="A1" s="36" t="s">
        <v>75</v>
      </c>
      <c r="B1" s="37"/>
      <c r="E1" s="36" t="s">
        <v>61</v>
      </c>
      <c r="F1" s="37"/>
      <c r="H1" s="36" t="s">
        <v>77</v>
      </c>
      <c r="I1" s="37"/>
      <c r="K1" s="36" t="s">
        <v>26</v>
      </c>
      <c r="L1" s="37"/>
      <c r="N1" s="36" t="s">
        <v>79</v>
      </c>
      <c r="O1" s="37"/>
    </row>
    <row r="2" spans="1:15" ht="15" thickBot="1" x14ac:dyDescent="0.35">
      <c r="A2" s="20"/>
      <c r="B2" s="22"/>
      <c r="E2" s="18" t="s">
        <v>62</v>
      </c>
      <c r="F2" s="23">
        <v>0.01</v>
      </c>
      <c r="H2" s="20" t="s">
        <v>55</v>
      </c>
      <c r="I2" s="22" t="s">
        <v>56</v>
      </c>
      <c r="K2" s="38" t="s">
        <v>55</v>
      </c>
      <c r="L2" s="39" t="s">
        <v>56</v>
      </c>
      <c r="N2" s="20" t="s">
        <v>55</v>
      </c>
      <c r="O2" s="22" t="s">
        <v>56</v>
      </c>
    </row>
    <row r="3" spans="1:15" ht="15" thickBot="1" x14ac:dyDescent="0.35">
      <c r="A3" s="18" t="s">
        <v>54</v>
      </c>
      <c r="B3" s="14">
        <v>100000</v>
      </c>
      <c r="E3" s="18" t="s">
        <v>63</v>
      </c>
      <c r="F3" s="14" t="s">
        <v>76</v>
      </c>
      <c r="H3" s="27"/>
      <c r="I3" s="28"/>
      <c r="K3" s="52" t="s">
        <v>29</v>
      </c>
      <c r="L3" s="53"/>
      <c r="N3" s="48" t="s">
        <v>29</v>
      </c>
      <c r="O3" s="49"/>
    </row>
    <row r="4" spans="1:15" ht="15" thickBot="1" x14ac:dyDescent="0.35">
      <c r="A4" s="18"/>
      <c r="B4" s="14"/>
      <c r="E4" s="27"/>
      <c r="F4" s="28"/>
      <c r="H4" s="29" t="s">
        <v>64</v>
      </c>
      <c r="I4" s="30">
        <v>217.43999897030474</v>
      </c>
      <c r="K4" s="18" t="s">
        <v>31</v>
      </c>
      <c r="L4" s="14">
        <v>2</v>
      </c>
      <c r="N4" s="18" t="s">
        <v>31</v>
      </c>
      <c r="O4" s="14">
        <v>2</v>
      </c>
    </row>
    <row r="5" spans="1:15" ht="15" thickBot="1" x14ac:dyDescent="0.35">
      <c r="A5" s="18" t="s">
        <v>51</v>
      </c>
      <c r="B5" s="15">
        <v>44291</v>
      </c>
      <c r="E5" s="29" t="s">
        <v>64</v>
      </c>
      <c r="F5" s="30">
        <v>98654.146993236034</v>
      </c>
      <c r="H5" s="20"/>
      <c r="I5" s="22"/>
      <c r="K5" s="18" t="s">
        <v>84</v>
      </c>
      <c r="L5" s="23">
        <f>L13</f>
        <v>1.7312177629719372E-2</v>
      </c>
      <c r="N5" s="19" t="s">
        <v>34</v>
      </c>
      <c r="O5" s="42" t="s">
        <v>35</v>
      </c>
    </row>
    <row r="6" spans="1:15" ht="15" thickBot="1" x14ac:dyDescent="0.35">
      <c r="A6" s="18" t="s">
        <v>27</v>
      </c>
      <c r="B6" s="15">
        <v>44444</v>
      </c>
      <c r="E6" s="20"/>
      <c r="F6" s="22"/>
      <c r="H6" s="19"/>
      <c r="I6" s="24"/>
      <c r="K6" s="19" t="s">
        <v>34</v>
      </c>
      <c r="L6" s="42" t="s">
        <v>35</v>
      </c>
      <c r="N6" s="48" t="s">
        <v>30</v>
      </c>
      <c r="O6" s="49"/>
    </row>
    <row r="7" spans="1:15" ht="15" thickBot="1" x14ac:dyDescent="0.35">
      <c r="A7" s="18" t="s">
        <v>52</v>
      </c>
      <c r="B7" s="15">
        <v>45174</v>
      </c>
      <c r="E7" s="19"/>
      <c r="F7" s="24"/>
      <c r="K7" s="52" t="s">
        <v>30</v>
      </c>
      <c r="L7" s="53"/>
      <c r="N7" s="18" t="s">
        <v>31</v>
      </c>
      <c r="O7" s="14">
        <v>4</v>
      </c>
    </row>
    <row r="8" spans="1:15" x14ac:dyDescent="0.3">
      <c r="A8" s="40"/>
      <c r="B8" s="41"/>
      <c r="H8" t="s">
        <v>78</v>
      </c>
      <c r="K8" s="18" t="s">
        <v>31</v>
      </c>
      <c r="L8" s="14">
        <v>4</v>
      </c>
      <c r="N8" s="18" t="s">
        <v>34</v>
      </c>
      <c r="O8" s="42" t="s">
        <v>36</v>
      </c>
    </row>
    <row r="9" spans="1:15" ht="15" thickBot="1" x14ac:dyDescent="0.35">
      <c r="A9" s="40" t="s">
        <v>37</v>
      </c>
      <c r="B9" s="41" t="s">
        <v>44</v>
      </c>
      <c r="K9" s="18" t="s">
        <v>34</v>
      </c>
      <c r="L9" s="42" t="s">
        <v>36</v>
      </c>
      <c r="N9" s="19" t="s">
        <v>85</v>
      </c>
      <c r="O9" s="51">
        <v>2</v>
      </c>
    </row>
    <row r="10" spans="1:15" ht="15" thickBot="1" x14ac:dyDescent="0.35">
      <c r="A10" s="40"/>
      <c r="B10" s="42"/>
      <c r="K10" s="19" t="s">
        <v>85</v>
      </c>
      <c r="L10" s="51">
        <v>2</v>
      </c>
      <c r="N10" s="18" t="s">
        <v>66</v>
      </c>
      <c r="O10" s="23">
        <v>0.35</v>
      </c>
    </row>
    <row r="11" spans="1:15" ht="15" thickBot="1" x14ac:dyDescent="0.35">
      <c r="A11" s="43" t="s">
        <v>82</v>
      </c>
      <c r="B11" s="44"/>
      <c r="K11" s="38"/>
      <c r="L11" s="39"/>
      <c r="N11" s="18" t="s">
        <v>67</v>
      </c>
      <c r="O11" s="23">
        <v>0.01</v>
      </c>
    </row>
    <row r="12" spans="1:15" x14ac:dyDescent="0.3">
      <c r="A12" s="40" t="s">
        <v>34</v>
      </c>
      <c r="B12" s="42" t="s">
        <v>42</v>
      </c>
      <c r="K12" s="31" t="s">
        <v>64</v>
      </c>
      <c r="L12" s="32">
        <v>-1.4112401913735084E-7</v>
      </c>
      <c r="N12" s="18" t="s">
        <v>81</v>
      </c>
      <c r="O12" s="16">
        <v>500</v>
      </c>
    </row>
    <row r="13" spans="1:15" ht="15" thickBot="1" x14ac:dyDescent="0.35">
      <c r="A13" s="40"/>
      <c r="B13" s="42"/>
      <c r="K13" s="33" t="s">
        <v>60</v>
      </c>
      <c r="L13" s="34">
        <v>1.7312177629719372E-2</v>
      </c>
      <c r="N13" s="27"/>
      <c r="O13" s="28"/>
    </row>
    <row r="14" spans="1:15" ht="15" thickBot="1" x14ac:dyDescent="0.35">
      <c r="A14" s="43" t="s">
        <v>83</v>
      </c>
      <c r="B14" s="44"/>
      <c r="K14" s="20"/>
      <c r="L14" s="22"/>
      <c r="N14" s="29" t="s">
        <v>64</v>
      </c>
      <c r="O14" s="30">
        <v>1988.8437193486277</v>
      </c>
    </row>
    <row r="15" spans="1:15" ht="15" thickBot="1" x14ac:dyDescent="0.35">
      <c r="A15" s="40" t="s">
        <v>34</v>
      </c>
      <c r="B15" s="42" t="s">
        <v>36</v>
      </c>
      <c r="K15" s="19"/>
      <c r="L15" s="24"/>
      <c r="N15" s="20"/>
      <c r="O15" s="22"/>
    </row>
    <row r="16" spans="1:15" ht="15" thickBot="1" x14ac:dyDescent="0.35">
      <c r="A16" s="19" t="s">
        <v>53</v>
      </c>
      <c r="B16" s="17">
        <v>2</v>
      </c>
      <c r="N16" s="19"/>
      <c r="O16" s="26"/>
    </row>
    <row r="19" spans="5:15" ht="15" thickBot="1" x14ac:dyDescent="0.35"/>
    <row r="20" spans="5:15" ht="15" thickBot="1" x14ac:dyDescent="0.35">
      <c r="E20" s="36" t="s">
        <v>65</v>
      </c>
      <c r="F20" s="37"/>
      <c r="H20" s="36" t="s">
        <v>69</v>
      </c>
      <c r="I20" s="37"/>
      <c r="K20" s="36" t="s">
        <v>70</v>
      </c>
      <c r="L20" s="37"/>
      <c r="N20" s="36" t="s">
        <v>80</v>
      </c>
      <c r="O20" s="37"/>
    </row>
    <row r="21" spans="5:15" ht="15" thickBot="1" x14ac:dyDescent="0.35">
      <c r="E21" s="38" t="s">
        <v>55</v>
      </c>
      <c r="F21" s="39" t="s">
        <v>56</v>
      </c>
      <c r="H21" s="20" t="s">
        <v>55</v>
      </c>
      <c r="I21" s="22" t="s">
        <v>56</v>
      </c>
      <c r="K21" s="20" t="s">
        <v>55</v>
      </c>
      <c r="L21" s="22" t="s">
        <v>56</v>
      </c>
      <c r="N21" s="20" t="s">
        <v>55</v>
      </c>
      <c r="O21" s="22" t="s">
        <v>56</v>
      </c>
    </row>
    <row r="22" spans="5:15" x14ac:dyDescent="0.3">
      <c r="E22" s="48" t="s">
        <v>29</v>
      </c>
      <c r="F22" s="49"/>
      <c r="H22" s="48" t="s">
        <v>29</v>
      </c>
      <c r="I22" s="49"/>
      <c r="K22" s="48" t="s">
        <v>29</v>
      </c>
      <c r="L22" s="49"/>
      <c r="N22" s="48" t="s">
        <v>29</v>
      </c>
      <c r="O22" s="49"/>
    </row>
    <row r="23" spans="5:15" x14ac:dyDescent="0.3">
      <c r="E23" s="18" t="s">
        <v>31</v>
      </c>
      <c r="F23" s="14">
        <v>2</v>
      </c>
      <c r="H23" s="18" t="s">
        <v>31</v>
      </c>
      <c r="I23" s="14">
        <v>2</v>
      </c>
      <c r="K23" s="18" t="s">
        <v>31</v>
      </c>
      <c r="L23" s="14">
        <v>2</v>
      </c>
      <c r="N23" s="18" t="s">
        <v>31</v>
      </c>
      <c r="O23" s="14">
        <v>2</v>
      </c>
    </row>
    <row r="24" spans="5:15" ht="15" thickBot="1" x14ac:dyDescent="0.35">
      <c r="E24" s="19" t="s">
        <v>34</v>
      </c>
      <c r="F24" s="42" t="s">
        <v>35</v>
      </c>
      <c r="H24" s="19" t="s">
        <v>34</v>
      </c>
      <c r="I24" s="42" t="s">
        <v>35</v>
      </c>
      <c r="K24" s="19" t="s">
        <v>34</v>
      </c>
      <c r="L24" s="42" t="s">
        <v>35</v>
      </c>
      <c r="N24" s="19" t="s">
        <v>34</v>
      </c>
      <c r="O24" s="42" t="s">
        <v>35</v>
      </c>
    </row>
    <row r="25" spans="5:15" x14ac:dyDescent="0.3">
      <c r="E25" s="48" t="s">
        <v>30</v>
      </c>
      <c r="F25" s="49"/>
      <c r="H25" s="48" t="s">
        <v>30</v>
      </c>
      <c r="I25" s="49"/>
      <c r="K25" s="48" t="s">
        <v>30</v>
      </c>
      <c r="L25" s="49"/>
      <c r="N25" s="48" t="s">
        <v>30</v>
      </c>
      <c r="O25" s="49"/>
    </row>
    <row r="26" spans="5:15" x14ac:dyDescent="0.3">
      <c r="E26" s="18" t="s">
        <v>31</v>
      </c>
      <c r="F26" s="14">
        <v>4</v>
      </c>
      <c r="H26" s="18" t="s">
        <v>31</v>
      </c>
      <c r="I26" s="14">
        <v>4</v>
      </c>
      <c r="K26" s="18" t="s">
        <v>31</v>
      </c>
      <c r="L26" s="14">
        <v>4</v>
      </c>
      <c r="N26" s="18" t="s">
        <v>31</v>
      </c>
      <c r="O26" s="14">
        <v>4</v>
      </c>
    </row>
    <row r="27" spans="5:15" x14ac:dyDescent="0.3">
      <c r="E27" s="18" t="s">
        <v>34</v>
      </c>
      <c r="F27" s="42" t="s">
        <v>36</v>
      </c>
      <c r="H27" s="18" t="s">
        <v>34</v>
      </c>
      <c r="I27" s="42" t="s">
        <v>36</v>
      </c>
      <c r="K27" s="18" t="s">
        <v>34</v>
      </c>
      <c r="L27" s="42" t="s">
        <v>36</v>
      </c>
      <c r="N27" s="18" t="s">
        <v>34</v>
      </c>
      <c r="O27" s="42" t="s">
        <v>36</v>
      </c>
    </row>
    <row r="28" spans="5:15" ht="15" thickBot="1" x14ac:dyDescent="0.35">
      <c r="E28" s="19" t="s">
        <v>85</v>
      </c>
      <c r="F28" s="51">
        <v>2</v>
      </c>
      <c r="H28" s="19" t="s">
        <v>85</v>
      </c>
      <c r="I28" s="51">
        <v>2</v>
      </c>
      <c r="K28" s="19" t="s">
        <v>85</v>
      </c>
      <c r="L28" s="51">
        <v>2</v>
      </c>
      <c r="N28" s="19" t="s">
        <v>85</v>
      </c>
      <c r="O28" s="51">
        <v>2</v>
      </c>
    </row>
    <row r="29" spans="5:15" x14ac:dyDescent="0.3">
      <c r="E29" s="20" t="s">
        <v>66</v>
      </c>
      <c r="F29" s="50">
        <v>0.35</v>
      </c>
      <c r="H29" s="18" t="s">
        <v>66</v>
      </c>
      <c r="I29" s="23">
        <v>0.35</v>
      </c>
      <c r="K29" s="21" t="s">
        <v>74</v>
      </c>
      <c r="L29" s="23">
        <v>0.35</v>
      </c>
      <c r="N29" s="21" t="s">
        <v>74</v>
      </c>
      <c r="O29" s="23">
        <v>0.35</v>
      </c>
    </row>
    <row r="30" spans="5:15" x14ac:dyDescent="0.3">
      <c r="E30" s="18" t="s">
        <v>67</v>
      </c>
      <c r="F30" s="23">
        <v>0.01</v>
      </c>
      <c r="H30" s="18" t="s">
        <v>67</v>
      </c>
      <c r="I30" s="23">
        <v>0.01</v>
      </c>
      <c r="K30" s="21" t="s">
        <v>71</v>
      </c>
      <c r="L30" s="23">
        <v>0.15</v>
      </c>
      <c r="N30" s="21" t="s">
        <v>71</v>
      </c>
      <c r="O30" s="23">
        <v>0.15</v>
      </c>
    </row>
    <row r="31" spans="5:15" x14ac:dyDescent="0.3">
      <c r="E31" s="18" t="s">
        <v>68</v>
      </c>
      <c r="F31" s="15">
        <f>$B$6</f>
        <v>44444</v>
      </c>
      <c r="H31" s="18" t="s">
        <v>68</v>
      </c>
      <c r="I31" s="15">
        <f>$B$6</f>
        <v>44444</v>
      </c>
      <c r="K31" s="21" t="s">
        <v>72</v>
      </c>
      <c r="L31" s="23">
        <v>0.4</v>
      </c>
      <c r="N31" s="21" t="s">
        <v>72</v>
      </c>
      <c r="O31" s="23">
        <v>0.4</v>
      </c>
    </row>
    <row r="32" spans="5:15" ht="15" thickBot="1" x14ac:dyDescent="0.35">
      <c r="E32" s="27"/>
      <c r="F32" s="28"/>
      <c r="H32" s="27"/>
      <c r="I32" s="28"/>
      <c r="K32" s="21" t="s">
        <v>73</v>
      </c>
      <c r="L32" s="23">
        <v>-0.3</v>
      </c>
      <c r="N32" s="21" t="s">
        <v>73</v>
      </c>
      <c r="O32" s="23">
        <v>-0.3</v>
      </c>
    </row>
    <row r="33" spans="5:15" ht="15" thickBot="1" x14ac:dyDescent="0.35">
      <c r="E33" s="29" t="s">
        <v>64</v>
      </c>
      <c r="F33" s="30">
        <v>1440.367210509489</v>
      </c>
      <c r="H33" s="29" t="s">
        <v>64</v>
      </c>
      <c r="I33" s="30">
        <v>2774.8545918309724</v>
      </c>
      <c r="K33" s="18" t="s">
        <v>67</v>
      </c>
      <c r="L33" s="23">
        <v>0.01</v>
      </c>
      <c r="N33" s="18" t="s">
        <v>67</v>
      </c>
      <c r="O33" s="23">
        <v>0.01</v>
      </c>
    </row>
    <row r="34" spans="5:15" x14ac:dyDescent="0.3">
      <c r="E34" s="20"/>
      <c r="F34" s="35"/>
      <c r="H34" s="20"/>
      <c r="I34" s="22"/>
      <c r="K34" s="18" t="s">
        <v>68</v>
      </c>
      <c r="L34" s="15">
        <f>$B$6</f>
        <v>44444</v>
      </c>
      <c r="N34" s="18" t="s">
        <v>81</v>
      </c>
      <c r="O34" s="16">
        <v>500</v>
      </c>
    </row>
    <row r="35" spans="5:15" ht="15" thickBot="1" x14ac:dyDescent="0.35">
      <c r="E35" s="19"/>
      <c r="F35" s="24"/>
      <c r="H35" s="19"/>
      <c r="I35" s="26"/>
      <c r="K35" s="27"/>
      <c r="L35" s="28"/>
      <c r="N35" s="27"/>
      <c r="O35" s="28"/>
    </row>
    <row r="36" spans="5:15" ht="15" thickBot="1" x14ac:dyDescent="0.35">
      <c r="K36" s="29" t="s">
        <v>64</v>
      </c>
      <c r="L36" s="30">
        <v>6152.7016690217442</v>
      </c>
      <c r="N36" s="29" t="s">
        <v>64</v>
      </c>
      <c r="O36" s="30">
        <v>5877.3024754428479</v>
      </c>
    </row>
    <row r="37" spans="5:15" x14ac:dyDescent="0.3">
      <c r="K37" s="20"/>
      <c r="L37" s="35"/>
      <c r="N37" s="20"/>
      <c r="O37" s="35"/>
    </row>
    <row r="38" spans="5:15" ht="15" thickBot="1" x14ac:dyDescent="0.35">
      <c r="K38" s="19"/>
      <c r="L38" s="24"/>
      <c r="N38" s="19"/>
      <c r="O38" s="24"/>
    </row>
  </sheetData>
  <mergeCells count="23">
    <mergeCell ref="E25:F25"/>
    <mergeCell ref="H22:I22"/>
    <mergeCell ref="H25:I25"/>
    <mergeCell ref="K25:L25"/>
    <mergeCell ref="N22:O22"/>
    <mergeCell ref="N25:O25"/>
    <mergeCell ref="K22:L22"/>
    <mergeCell ref="E22:F22"/>
    <mergeCell ref="N1:O1"/>
    <mergeCell ref="N20:O20"/>
    <mergeCell ref="A1:B1"/>
    <mergeCell ref="E1:F1"/>
    <mergeCell ref="H1:I1"/>
    <mergeCell ref="K1:L1"/>
    <mergeCell ref="E20:F20"/>
    <mergeCell ref="H20:I20"/>
    <mergeCell ref="K20:L20"/>
    <mergeCell ref="A11:B11"/>
    <mergeCell ref="A14:B14"/>
    <mergeCell ref="K3:L3"/>
    <mergeCell ref="K7:L7"/>
    <mergeCell ref="N3:O3"/>
    <mergeCell ref="N6:O6"/>
  </mergeCells>
  <dataValidations count="5">
    <dataValidation type="date" operator="notBetween" allowBlank="1" showInputMessage="1" showErrorMessage="1" sqref="B5" xr:uid="{D7500AEF-6D78-45BE-9F26-D3E15C8705B6}">
      <formula1>18264</formula1>
      <formula2>73051</formula2>
    </dataValidation>
    <dataValidation type="list" allowBlank="1" showInputMessage="1" showErrorMessage="1" sqref="L2" xr:uid="{545A13C7-1D2B-4993-81CF-313442A502F0}">
      <formula1>$A$1:$A$2</formula1>
    </dataValidation>
    <dataValidation type="date" operator="lessThanOrEqual" allowBlank="1" showInputMessage="1" showErrorMessage="1" sqref="F31 I31 L34" xr:uid="{5D2C891C-B491-4B80-B3A6-96B090174334}">
      <formula1>$B$6</formula1>
    </dataValidation>
    <dataValidation type="date" operator="greaterThan" allowBlank="1" showInputMessage="1" showErrorMessage="1" sqref="B7" xr:uid="{9F961121-7B62-4732-B893-0D1A20257D68}">
      <formula1>$B$6</formula1>
    </dataValidation>
    <dataValidation type="date" operator="greaterThanOrEqual" allowBlank="1" showInputMessage="1" showErrorMessage="1" sqref="B6" xr:uid="{ADD38AF4-753C-4A64-AF52-E2E5B413F0BD}">
      <formula1>$B$5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C05353-5482-49C0-AD6E-AA177AA75852}">
          <x14:formula1>
            <xm:f>data_help!$A$1:$A$2</xm:f>
          </x14:formula1>
          <xm:sqref>I2 L21 F21 I21 F3 O2 O21</xm:sqref>
        </x14:dataValidation>
        <x14:dataValidation type="list" allowBlank="1" showInputMessage="1" showErrorMessage="1" xr:uid="{5DC8EF87-0FE5-4593-AF2D-248EBCCCF2C2}">
          <x14:formula1>
            <xm:f>data_help!$B$1:$B$3</xm:f>
          </x14:formula1>
          <xm:sqref>B12 B15 L9 O8 F27 F24 I24 I27 L24 L27 O24 L6 O5 O27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A1DB-39D4-468F-B7D5-E7B502B8ED8D}">
  <sheetPr codeName="Feuil2"/>
  <dimension ref="B2:E20"/>
  <sheetViews>
    <sheetView workbookViewId="0">
      <selection activeCell="F11" sqref="F11"/>
    </sheetView>
  </sheetViews>
  <sheetFormatPr baseColWidth="10" defaultColWidth="8.88671875" defaultRowHeight="14.4" x14ac:dyDescent="0.3"/>
  <cols>
    <col min="3" max="3" width="10.5546875" customWidth="1"/>
    <col min="4" max="4" width="13.6640625" customWidth="1"/>
    <col min="5" max="5" width="24.88671875" bestFit="1" customWidth="1"/>
  </cols>
  <sheetData>
    <row r="2" spans="2:5" x14ac:dyDescent="0.3">
      <c r="C2" s="1" t="s">
        <v>43</v>
      </c>
      <c r="D2" s="10">
        <v>44291</v>
      </c>
    </row>
    <row r="4" spans="2:5" x14ac:dyDescent="0.3">
      <c r="B4" s="1" t="s">
        <v>23</v>
      </c>
      <c r="C4" s="1" t="s">
        <v>27</v>
      </c>
      <c r="D4" s="1" t="s">
        <v>0</v>
      </c>
      <c r="E4" s="1" t="s">
        <v>45</v>
      </c>
    </row>
    <row r="5" spans="2:5" x14ac:dyDescent="0.3">
      <c r="B5" t="s">
        <v>24</v>
      </c>
      <c r="C5" s="2">
        <v>44293</v>
      </c>
      <c r="D5" t="s">
        <v>1</v>
      </c>
      <c r="E5">
        <v>0.99710100000000002</v>
      </c>
    </row>
    <row r="6" spans="2:5" x14ac:dyDescent="0.3">
      <c r="B6" t="s">
        <v>25</v>
      </c>
      <c r="C6" s="2">
        <v>44363</v>
      </c>
      <c r="D6" t="s">
        <v>1</v>
      </c>
      <c r="E6">
        <v>0.99436800000000003</v>
      </c>
    </row>
    <row r="7" spans="2:5" x14ac:dyDescent="0.3">
      <c r="B7" t="s">
        <v>25</v>
      </c>
      <c r="C7" s="2">
        <v>44454</v>
      </c>
      <c r="D7" t="s">
        <v>1</v>
      </c>
      <c r="E7">
        <v>0.99080299999999999</v>
      </c>
    </row>
    <row r="8" spans="2:5" x14ac:dyDescent="0.3">
      <c r="B8" t="s">
        <v>25</v>
      </c>
      <c r="C8" s="2">
        <v>44545</v>
      </c>
      <c r="D8" t="s">
        <v>1</v>
      </c>
      <c r="E8">
        <v>0.98701799999999995</v>
      </c>
    </row>
    <row r="9" spans="2:5" x14ac:dyDescent="0.3">
      <c r="B9" t="s">
        <v>25</v>
      </c>
      <c r="C9" s="2">
        <v>44636</v>
      </c>
      <c r="D9" t="s">
        <v>1</v>
      </c>
      <c r="E9">
        <v>0.98305500000000001</v>
      </c>
    </row>
    <row r="10" spans="2:5" x14ac:dyDescent="0.3">
      <c r="B10" t="s">
        <v>25</v>
      </c>
      <c r="C10" s="2">
        <v>44727</v>
      </c>
      <c r="D10" t="s">
        <v>1</v>
      </c>
      <c r="E10">
        <v>0.97886700000000004</v>
      </c>
    </row>
    <row r="11" spans="2:5" x14ac:dyDescent="0.3">
      <c r="B11" t="s">
        <v>25</v>
      </c>
      <c r="C11" s="2">
        <v>44825</v>
      </c>
      <c r="D11" t="s">
        <v>1</v>
      </c>
      <c r="E11">
        <v>0.97447099999999998</v>
      </c>
    </row>
    <row r="12" spans="2:5" x14ac:dyDescent="0.3">
      <c r="B12" t="s">
        <v>26</v>
      </c>
      <c r="C12" s="2">
        <v>44293</v>
      </c>
      <c r="D12" t="s">
        <v>2</v>
      </c>
      <c r="E12">
        <v>0.96913499999999997</v>
      </c>
    </row>
    <row r="13" spans="2:5" x14ac:dyDescent="0.3">
      <c r="B13" t="s">
        <v>26</v>
      </c>
      <c r="C13" s="2">
        <v>44293</v>
      </c>
      <c r="D13" t="s">
        <v>3</v>
      </c>
      <c r="E13">
        <v>0.94948900000000003</v>
      </c>
    </row>
    <row r="14" spans="2:5" x14ac:dyDescent="0.3">
      <c r="B14" t="s">
        <v>26</v>
      </c>
      <c r="C14" s="2">
        <v>44293</v>
      </c>
      <c r="D14" t="s">
        <v>4</v>
      </c>
      <c r="E14">
        <v>0.92832300000000001</v>
      </c>
    </row>
    <row r="15" spans="2:5" x14ac:dyDescent="0.3">
      <c r="B15" t="s">
        <v>26</v>
      </c>
      <c r="C15" s="2">
        <v>44293</v>
      </c>
      <c r="D15" t="s">
        <v>5</v>
      </c>
      <c r="E15">
        <v>0.906277</v>
      </c>
    </row>
    <row r="16" spans="2:5" x14ac:dyDescent="0.3">
      <c r="B16" t="s">
        <v>26</v>
      </c>
      <c r="C16" s="2">
        <v>44293</v>
      </c>
      <c r="D16" t="s">
        <v>6</v>
      </c>
      <c r="E16">
        <v>0.88341599999999998</v>
      </c>
    </row>
    <row r="17" spans="2:5" x14ac:dyDescent="0.3">
      <c r="B17" t="s">
        <v>26</v>
      </c>
      <c r="C17" s="2">
        <v>44293</v>
      </c>
      <c r="D17" t="s">
        <v>7</v>
      </c>
      <c r="E17">
        <v>0.86065800000000003</v>
      </c>
    </row>
    <row r="18" spans="2:5" x14ac:dyDescent="0.3">
      <c r="B18" t="s">
        <v>26</v>
      </c>
      <c r="C18" s="2">
        <v>44293</v>
      </c>
      <c r="D18" t="s">
        <v>8</v>
      </c>
      <c r="E18">
        <v>0.83777900000000005</v>
      </c>
    </row>
    <row r="19" spans="2:5" x14ac:dyDescent="0.3">
      <c r="B19" t="s">
        <v>26</v>
      </c>
      <c r="C19" s="2">
        <v>44293</v>
      </c>
      <c r="D19" t="s">
        <v>9</v>
      </c>
      <c r="E19">
        <v>0.81493800000000005</v>
      </c>
    </row>
    <row r="20" spans="2:5" x14ac:dyDescent="0.3">
      <c r="B20" t="s">
        <v>26</v>
      </c>
      <c r="C20" s="2">
        <v>44293</v>
      </c>
      <c r="D20" t="s">
        <v>10</v>
      </c>
      <c r="E20">
        <v>0.79228799999999999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AC80-2FB1-4F90-B3F0-C04A40EBB43E}">
  <sheetPr codeName="Feuil3"/>
  <dimension ref="B2:E22"/>
  <sheetViews>
    <sheetView workbookViewId="0">
      <selection activeCell="G4" sqref="G4"/>
    </sheetView>
  </sheetViews>
  <sheetFormatPr baseColWidth="10" defaultColWidth="8.88671875" defaultRowHeight="14.4" x14ac:dyDescent="0.3"/>
  <cols>
    <col min="3" max="3" width="10.5546875" customWidth="1"/>
    <col min="4" max="4" width="8.33203125" customWidth="1"/>
    <col min="5" max="5" width="24.88671875" bestFit="1" customWidth="1"/>
  </cols>
  <sheetData>
    <row r="2" spans="2:5" x14ac:dyDescent="0.3">
      <c r="C2" s="1" t="s">
        <v>43</v>
      </c>
      <c r="D2" s="10">
        <v>44291</v>
      </c>
    </row>
    <row r="4" spans="2:5" x14ac:dyDescent="0.3">
      <c r="B4" s="1" t="s">
        <v>23</v>
      </c>
      <c r="C4" s="1" t="s">
        <v>27</v>
      </c>
      <c r="D4" s="1" t="s">
        <v>0</v>
      </c>
      <c r="E4" s="1" t="s">
        <v>45</v>
      </c>
    </row>
    <row r="5" spans="2:5" x14ac:dyDescent="0.3">
      <c r="B5" t="s">
        <v>24</v>
      </c>
      <c r="C5" s="2">
        <v>44293</v>
      </c>
      <c r="D5" t="s">
        <v>11</v>
      </c>
      <c r="E5">
        <v>0.99992400000000004</v>
      </c>
    </row>
    <row r="6" spans="2:5" x14ac:dyDescent="0.3">
      <c r="B6" t="s">
        <v>26</v>
      </c>
      <c r="C6" s="2">
        <v>44293</v>
      </c>
      <c r="D6" t="s">
        <v>12</v>
      </c>
      <c r="E6">
        <v>0.99982300000000002</v>
      </c>
    </row>
    <row r="7" spans="2:5" x14ac:dyDescent="0.3">
      <c r="B7" t="s">
        <v>26</v>
      </c>
      <c r="C7" s="2">
        <v>44293</v>
      </c>
      <c r="D7" t="s">
        <v>13</v>
      </c>
      <c r="E7">
        <v>0.99964600000000003</v>
      </c>
    </row>
    <row r="8" spans="2:5" x14ac:dyDescent="0.3">
      <c r="B8" t="s">
        <v>26</v>
      </c>
      <c r="C8" s="2">
        <v>44293</v>
      </c>
      <c r="D8" t="s">
        <v>14</v>
      </c>
      <c r="E8">
        <v>0.99947799999999998</v>
      </c>
    </row>
    <row r="9" spans="2:5" x14ac:dyDescent="0.3">
      <c r="B9" t="s">
        <v>26</v>
      </c>
      <c r="C9" s="2">
        <v>44293</v>
      </c>
      <c r="D9" t="s">
        <v>15</v>
      </c>
      <c r="E9">
        <v>0.99922599999999995</v>
      </c>
    </row>
    <row r="10" spans="2:5" x14ac:dyDescent="0.3">
      <c r="B10" t="s">
        <v>26</v>
      </c>
      <c r="C10" s="2">
        <v>44293</v>
      </c>
      <c r="D10" t="s">
        <v>16</v>
      </c>
      <c r="E10">
        <v>0.99847200000000003</v>
      </c>
    </row>
    <row r="11" spans="2:5" x14ac:dyDescent="0.3">
      <c r="B11" t="s">
        <v>26</v>
      </c>
      <c r="C11" s="2">
        <v>44293</v>
      </c>
      <c r="D11" t="s">
        <v>1</v>
      </c>
      <c r="E11">
        <v>0.99763199999999996</v>
      </c>
    </row>
    <row r="12" spans="2:5" x14ac:dyDescent="0.3">
      <c r="B12" t="s">
        <v>26</v>
      </c>
      <c r="C12" s="2">
        <v>44293</v>
      </c>
      <c r="D12" t="s">
        <v>17</v>
      </c>
      <c r="E12">
        <v>0.99672300000000003</v>
      </c>
    </row>
    <row r="13" spans="2:5" x14ac:dyDescent="0.3">
      <c r="B13" t="s">
        <v>26</v>
      </c>
      <c r="C13" s="2">
        <v>44293</v>
      </c>
      <c r="D13" t="s">
        <v>18</v>
      </c>
      <c r="E13">
        <v>0.99580000000000002</v>
      </c>
    </row>
    <row r="14" spans="2:5" x14ac:dyDescent="0.3">
      <c r="B14" t="s">
        <v>26</v>
      </c>
      <c r="C14" s="2">
        <v>44293</v>
      </c>
      <c r="D14" t="s">
        <v>19</v>
      </c>
      <c r="E14">
        <v>0.99476799999999999</v>
      </c>
    </row>
    <row r="15" spans="2:5" x14ac:dyDescent="0.3">
      <c r="B15" t="s">
        <v>26</v>
      </c>
      <c r="C15" s="2">
        <v>44293</v>
      </c>
      <c r="D15" t="s">
        <v>20</v>
      </c>
      <c r="E15">
        <v>0.99175000000000002</v>
      </c>
    </row>
    <row r="16" spans="2:5" x14ac:dyDescent="0.3">
      <c r="B16" t="s">
        <v>26</v>
      </c>
      <c r="C16" s="2">
        <v>44293</v>
      </c>
      <c r="D16" t="s">
        <v>21</v>
      </c>
      <c r="E16">
        <v>0.98852700000000004</v>
      </c>
    </row>
    <row r="17" spans="2:5" x14ac:dyDescent="0.3">
      <c r="B17" t="s">
        <v>26</v>
      </c>
      <c r="C17" s="2">
        <v>44293</v>
      </c>
      <c r="D17" t="s">
        <v>22</v>
      </c>
      <c r="E17">
        <v>0.98154600000000003</v>
      </c>
    </row>
    <row r="18" spans="2:5" x14ac:dyDescent="0.3">
      <c r="B18" t="s">
        <v>26</v>
      </c>
      <c r="C18" s="2">
        <v>44293</v>
      </c>
      <c r="D18" t="s">
        <v>2</v>
      </c>
      <c r="E18">
        <v>0.97385900000000003</v>
      </c>
    </row>
    <row r="19" spans="2:5" x14ac:dyDescent="0.3">
      <c r="B19" t="s">
        <v>26</v>
      </c>
      <c r="C19" s="2">
        <v>44293</v>
      </c>
      <c r="D19" t="s">
        <v>3</v>
      </c>
      <c r="E19">
        <v>0.95683499999999999</v>
      </c>
    </row>
    <row r="20" spans="2:5" x14ac:dyDescent="0.3">
      <c r="B20" t="s">
        <v>26</v>
      </c>
      <c r="C20" s="2">
        <v>44293</v>
      </c>
      <c r="D20" t="s">
        <v>4</v>
      </c>
      <c r="E20">
        <v>0.93862500000000004</v>
      </c>
    </row>
    <row r="21" spans="2:5" x14ac:dyDescent="0.3">
      <c r="B21" t="s">
        <v>26</v>
      </c>
      <c r="C21" s="2">
        <v>44293</v>
      </c>
      <c r="D21" t="s">
        <v>5</v>
      </c>
      <c r="E21">
        <v>0.91930900000000004</v>
      </c>
    </row>
    <row r="22" spans="2:5" x14ac:dyDescent="0.3">
      <c r="B22" t="s">
        <v>26</v>
      </c>
      <c r="C22" s="2">
        <v>44293</v>
      </c>
      <c r="D22" t="s">
        <v>10</v>
      </c>
      <c r="E22">
        <v>0.81904999999999994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20F68-B48E-481E-ACEB-44F92FDD4391}">
  <sheetPr codeName="Feuil4"/>
  <dimension ref="B2:J11"/>
  <sheetViews>
    <sheetView workbookViewId="0">
      <selection activeCell="D7" sqref="D7"/>
    </sheetView>
  </sheetViews>
  <sheetFormatPr baseColWidth="10" defaultColWidth="8.88671875" defaultRowHeight="14.4" x14ac:dyDescent="0.3"/>
  <cols>
    <col min="2" max="2" width="13.44140625" bestFit="1" customWidth="1"/>
  </cols>
  <sheetData>
    <row r="2" spans="2:10" x14ac:dyDescent="0.3">
      <c r="B2" s="5" t="s">
        <v>46</v>
      </c>
    </row>
    <row r="4" spans="2:10" x14ac:dyDescent="0.3">
      <c r="B4" s="4" t="s">
        <v>50</v>
      </c>
      <c r="C4" s="11">
        <v>0.35</v>
      </c>
      <c r="D4" s="11"/>
      <c r="E4" s="11"/>
      <c r="F4" s="11"/>
      <c r="G4" s="11"/>
      <c r="H4" s="12"/>
      <c r="I4" s="12"/>
      <c r="J4" s="12"/>
    </row>
    <row r="5" spans="2:10" x14ac:dyDescent="0.3">
      <c r="B5" s="4" t="s">
        <v>47</v>
      </c>
      <c r="C5" s="11">
        <v>0.15</v>
      </c>
      <c r="D5" s="3"/>
      <c r="E5" s="3"/>
      <c r="F5" s="3"/>
      <c r="G5" s="3"/>
      <c r="H5" s="3"/>
      <c r="I5" s="3"/>
      <c r="J5" s="3"/>
    </row>
    <row r="6" spans="2:10" x14ac:dyDescent="0.3">
      <c r="B6" s="4" t="s">
        <v>48</v>
      </c>
      <c r="C6" s="11">
        <v>0.4</v>
      </c>
      <c r="D6" s="3"/>
      <c r="E6" s="3"/>
      <c r="F6" s="3"/>
      <c r="G6" s="3"/>
    </row>
    <row r="7" spans="2:10" x14ac:dyDescent="0.3">
      <c r="B7" s="4" t="s">
        <v>49</v>
      </c>
      <c r="C7" s="11">
        <v>-0.3</v>
      </c>
      <c r="D7" s="3"/>
      <c r="E7" s="3"/>
      <c r="F7" s="3"/>
      <c r="G7" s="3"/>
    </row>
    <row r="8" spans="2:10" x14ac:dyDescent="0.3">
      <c r="B8" s="4"/>
      <c r="C8" s="3"/>
      <c r="D8" s="3"/>
      <c r="E8" s="3"/>
      <c r="F8" s="3"/>
      <c r="G8" s="3"/>
    </row>
    <row r="9" spans="2:10" x14ac:dyDescent="0.3">
      <c r="C9" s="3"/>
      <c r="D9" s="3"/>
      <c r="E9" s="3"/>
      <c r="F9" s="3"/>
      <c r="G9" s="3"/>
    </row>
    <row r="10" spans="2:10" x14ac:dyDescent="0.3">
      <c r="C10" s="11"/>
      <c r="D10" s="11"/>
      <c r="E10" s="11"/>
      <c r="F10" s="11"/>
      <c r="G10" s="11"/>
      <c r="H10" s="11"/>
      <c r="I10" s="11"/>
      <c r="J10" s="11"/>
    </row>
    <row r="11" spans="2:10" x14ac:dyDescent="0.3">
      <c r="C11" s="13"/>
      <c r="D11" s="13"/>
      <c r="E11" s="13"/>
      <c r="F11" s="13"/>
      <c r="G11" s="13"/>
      <c r="H11" s="13"/>
      <c r="I11" s="13"/>
      <c r="J11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13C1-E029-47F9-AE06-B2218A7A6071}">
  <sheetPr codeName="Feuil6"/>
  <dimension ref="A1:I19"/>
  <sheetViews>
    <sheetView workbookViewId="0">
      <selection activeCell="B4" sqref="B4"/>
    </sheetView>
  </sheetViews>
  <sheetFormatPr baseColWidth="10" defaultRowHeight="14.4" x14ac:dyDescent="0.3"/>
  <cols>
    <col min="1" max="1" width="5.109375" bestFit="1" customWidth="1"/>
    <col min="4" max="4" width="14" bestFit="1" customWidth="1"/>
    <col min="5" max="5" width="8" bestFit="1" customWidth="1"/>
  </cols>
  <sheetData>
    <row r="1" spans="1:9" x14ac:dyDescent="0.3">
      <c r="A1" t="s">
        <v>56</v>
      </c>
      <c r="B1" t="s">
        <v>42</v>
      </c>
    </row>
    <row r="2" spans="1:9" x14ac:dyDescent="0.3">
      <c r="A2" t="s">
        <v>76</v>
      </c>
      <c r="B2" t="s">
        <v>36</v>
      </c>
    </row>
    <row r="3" spans="1:9" x14ac:dyDescent="0.3">
      <c r="B3" t="s">
        <v>35</v>
      </c>
    </row>
    <row r="4" spans="1:9" ht="15" thickBot="1" x14ac:dyDescent="0.35"/>
    <row r="5" spans="1:9" ht="15" thickBot="1" x14ac:dyDescent="0.35">
      <c r="D5" s="36" t="s">
        <v>26</v>
      </c>
      <c r="E5" s="37"/>
    </row>
    <row r="6" spans="1:9" ht="15" thickBot="1" x14ac:dyDescent="0.35">
      <c r="D6" s="20" t="s">
        <v>55</v>
      </c>
      <c r="E6" s="22" t="s">
        <v>56</v>
      </c>
      <c r="H6" s="36" t="s">
        <v>26</v>
      </c>
      <c r="I6" s="37"/>
    </row>
    <row r="7" spans="1:9" x14ac:dyDescent="0.3">
      <c r="D7" s="45" t="s">
        <v>29</v>
      </c>
      <c r="E7" s="46"/>
      <c r="H7" s="20" t="s">
        <v>55</v>
      </c>
      <c r="I7" s="22" t="s">
        <v>56</v>
      </c>
    </row>
    <row r="8" spans="1:9" x14ac:dyDescent="0.3">
      <c r="D8" s="18" t="s">
        <v>31</v>
      </c>
      <c r="E8" s="14">
        <v>1</v>
      </c>
      <c r="H8" s="18" t="s">
        <v>57</v>
      </c>
      <c r="I8" s="14">
        <v>1</v>
      </c>
    </row>
    <row r="9" spans="1:9" x14ac:dyDescent="0.3">
      <c r="D9" s="18" t="s">
        <v>84</v>
      </c>
      <c r="E9" s="14">
        <v>1</v>
      </c>
      <c r="H9" s="18" t="s">
        <v>58</v>
      </c>
      <c r="I9" s="14">
        <v>2</v>
      </c>
    </row>
    <row r="10" spans="1:9" x14ac:dyDescent="0.3">
      <c r="D10" s="18" t="s">
        <v>34</v>
      </c>
      <c r="E10" s="14" t="s">
        <v>36</v>
      </c>
      <c r="H10" s="18" t="s">
        <v>59</v>
      </c>
      <c r="I10" s="25">
        <f>I13</f>
        <v>2.2441248560426175E-2</v>
      </c>
    </row>
    <row r="11" spans="1:9" ht="15" thickBot="1" x14ac:dyDescent="0.35">
      <c r="D11" s="45" t="s">
        <v>30</v>
      </c>
      <c r="E11" s="46"/>
      <c r="H11" s="27"/>
      <c r="I11" s="28"/>
    </row>
    <row r="12" spans="1:9" x14ac:dyDescent="0.3">
      <c r="D12" s="18" t="s">
        <v>31</v>
      </c>
      <c r="E12" s="14">
        <v>2</v>
      </c>
      <c r="H12" s="31" t="s">
        <v>64</v>
      </c>
      <c r="I12" s="32">
        <v>-1.7490965547040105E-6</v>
      </c>
    </row>
    <row r="13" spans="1:9" ht="15" thickBot="1" x14ac:dyDescent="0.35">
      <c r="D13" s="18" t="s">
        <v>34</v>
      </c>
      <c r="E13" s="14" t="s">
        <v>36</v>
      </c>
      <c r="H13" s="33" t="s">
        <v>60</v>
      </c>
      <c r="I13" s="34">
        <v>2.2441248560426175E-2</v>
      </c>
    </row>
    <row r="14" spans="1:9" x14ac:dyDescent="0.3">
      <c r="D14" s="27" t="s">
        <v>85</v>
      </c>
      <c r="E14" s="47">
        <v>2</v>
      </c>
      <c r="H14" s="20"/>
      <c r="I14" s="22"/>
    </row>
    <row r="15" spans="1:9" ht="15" thickBot="1" x14ac:dyDescent="0.35">
      <c r="D15" s="27"/>
      <c r="E15" s="28"/>
      <c r="H15" s="19"/>
      <c r="I15" s="24"/>
    </row>
    <row r="16" spans="1:9" x14ac:dyDescent="0.3">
      <c r="D16" s="31" t="s">
        <v>64</v>
      </c>
      <c r="E16" s="32">
        <v>-1.7490965547040105E-6</v>
      </c>
    </row>
    <row r="17" spans="4:5" ht="15" thickBot="1" x14ac:dyDescent="0.35">
      <c r="D17" s="33" t="s">
        <v>60</v>
      </c>
      <c r="E17" s="34">
        <v>2.2441248560426175E-2</v>
      </c>
    </row>
    <row r="18" spans="4:5" x14ac:dyDescent="0.3">
      <c r="D18" s="20"/>
      <c r="E18" s="22"/>
    </row>
    <row r="19" spans="4:5" ht="15" thickBot="1" x14ac:dyDescent="0.35">
      <c r="D19" s="19"/>
      <c r="E19" s="24"/>
    </row>
  </sheetData>
  <mergeCells count="4">
    <mergeCell ref="D5:E5"/>
    <mergeCell ref="D7:E7"/>
    <mergeCell ref="D11:E11"/>
    <mergeCell ref="H6:I6"/>
  </mergeCells>
  <dataValidations disablePrompts="1" count="1">
    <dataValidation type="list" allowBlank="1" showInputMessage="1" showErrorMessage="1" sqref="E6 I7" xr:uid="{DA9CAECF-75E3-493D-B491-1C34680B952D}">
      <formula1>$A$1:$A$2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Conventions</vt:lpstr>
      <vt:lpstr>Excel Connect</vt:lpstr>
      <vt:lpstr>USD3M - Curve for forwards</vt:lpstr>
      <vt:lpstr>OIS Curve for discounting</vt:lpstr>
      <vt:lpstr>VolSwaption</vt:lpstr>
      <vt:lpstr>data_help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</dc:creator>
  <cp:lastModifiedBy>Elyès Chenik</cp:lastModifiedBy>
  <dcterms:created xsi:type="dcterms:W3CDTF">2021-04-17T14:04:38Z</dcterms:created>
  <dcterms:modified xsi:type="dcterms:W3CDTF">2021-05-09T21:30:16Z</dcterms:modified>
</cp:coreProperties>
</file>